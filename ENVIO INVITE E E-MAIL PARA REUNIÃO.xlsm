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wcscarvalho\Downloads\"/>
    </mc:Choice>
  </mc:AlternateContent>
  <xr:revisionPtr revIDLastSave="0" documentId="8_{883C0F26-237D-489F-B5A0-20C049302FAC}" xr6:coauthVersionLast="45" xr6:coauthVersionMax="45" xr10:uidLastSave="{00000000-0000-0000-0000-000000000000}"/>
  <bookViews>
    <workbookView xWindow="-120" yWindow="-120" windowWidth="20730" windowHeight="11310" xr2:uid="{33E9214F-A0B3-4FBF-B52F-99882C92EC2B}"/>
  </bookViews>
  <sheets>
    <sheet name="REUNIÃO DE VENDAS" sheetId="1" r:id="rId1"/>
  </sheets>
  <externalReferences>
    <externalReference r:id="rId2"/>
  </externalReferences>
  <definedNames>
    <definedName name="_xlnm._FilterDatabase" localSheetId="0" hidden="1">'REUNIÃO DE VENDAS'!$N$17:$Q$65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S65" i="1" l="1"/>
  <c r="R65" i="1"/>
  <c r="S64" i="1"/>
  <c r="R64" i="1"/>
  <c r="S63" i="1"/>
  <c r="R63" i="1"/>
  <c r="S62" i="1"/>
  <c r="R62" i="1"/>
  <c r="S61" i="1"/>
  <c r="R61" i="1"/>
  <c r="S60" i="1"/>
  <c r="R60" i="1"/>
  <c r="S59" i="1"/>
  <c r="R59" i="1"/>
  <c r="S58" i="1"/>
  <c r="R58" i="1"/>
  <c r="S57" i="1"/>
  <c r="R57" i="1"/>
  <c r="S56" i="1"/>
  <c r="R56" i="1"/>
  <c r="S55" i="1"/>
  <c r="R55" i="1"/>
  <c r="S54" i="1"/>
  <c r="R54" i="1"/>
  <c r="S53" i="1"/>
  <c r="R53" i="1"/>
  <c r="S52" i="1"/>
  <c r="R52" i="1"/>
  <c r="S51" i="1"/>
  <c r="R51" i="1"/>
  <c r="S50" i="1"/>
  <c r="R50" i="1"/>
  <c r="S49" i="1"/>
  <c r="R49" i="1"/>
  <c r="S48" i="1"/>
  <c r="R48" i="1"/>
  <c r="S47" i="1"/>
  <c r="R47" i="1"/>
  <c r="S46" i="1"/>
  <c r="R46" i="1"/>
  <c r="S45" i="1"/>
  <c r="R45" i="1"/>
  <c r="S44" i="1"/>
  <c r="R44" i="1"/>
  <c r="S43" i="1"/>
  <c r="R43" i="1"/>
  <c r="S42" i="1"/>
  <c r="R42" i="1"/>
  <c r="S41" i="1"/>
  <c r="R41" i="1"/>
  <c r="S40" i="1"/>
  <c r="R40" i="1"/>
  <c r="S39" i="1"/>
  <c r="R39" i="1"/>
  <c r="S38" i="1"/>
  <c r="R38" i="1"/>
  <c r="A38" i="1"/>
  <c r="S37" i="1"/>
  <c r="R37" i="1"/>
  <c r="S36" i="1"/>
  <c r="R36" i="1"/>
  <c r="S35" i="1"/>
  <c r="R35" i="1"/>
  <c r="S34" i="1"/>
  <c r="R34" i="1"/>
  <c r="S33" i="1"/>
  <c r="R33" i="1"/>
  <c r="S32" i="1"/>
  <c r="R32" i="1"/>
  <c r="S31" i="1"/>
  <c r="R31" i="1"/>
  <c r="S30" i="1"/>
  <c r="R30" i="1"/>
  <c r="S29" i="1"/>
  <c r="R29" i="1"/>
  <c r="S28" i="1"/>
  <c r="R28" i="1"/>
  <c r="S27" i="1"/>
  <c r="R27" i="1"/>
  <c r="S26" i="1"/>
  <c r="R26" i="1"/>
  <c r="S25" i="1"/>
  <c r="R25" i="1"/>
  <c r="S24" i="1"/>
  <c r="R24" i="1"/>
  <c r="S23" i="1"/>
  <c r="R23" i="1"/>
  <c r="S22" i="1"/>
  <c r="R22" i="1"/>
  <c r="S21" i="1"/>
  <c r="R21" i="1"/>
  <c r="S20" i="1"/>
  <c r="R20" i="1"/>
  <c r="S19" i="1"/>
  <c r="R19" i="1"/>
  <c r="S18" i="1"/>
  <c r="R18" i="1"/>
  <c r="F17" i="1"/>
  <c r="D17" i="1"/>
  <c r="F16" i="1"/>
  <c r="D16" i="1"/>
  <c r="O15" i="1"/>
  <c r="C17" i="1" s="1"/>
  <c r="F15" i="1"/>
  <c r="D15" i="1"/>
  <c r="F14" i="1"/>
  <c r="D14" i="1"/>
  <c r="A5" i="1"/>
  <c r="E15" i="1" l="1"/>
  <c r="A21" i="1" s="1"/>
  <c r="E14" i="1"/>
  <c r="A20" i="1" s="1"/>
  <c r="E29" i="1"/>
  <c r="F29" i="1" s="1"/>
  <c r="F30" i="1" s="1"/>
  <c r="A37" i="1" s="1"/>
  <c r="E16" i="1"/>
  <c r="A22" i="1" s="1"/>
  <c r="E17" i="1"/>
  <c r="A23" i="1" s="1"/>
  <c r="C14" i="1"/>
  <c r="C15" i="1"/>
  <c r="C16" i="1"/>
  <c r="E35" i="1" l="1"/>
</calcChain>
</file>

<file path=xl/sharedStrings.xml><?xml version="1.0" encoding="utf-8"?>
<sst xmlns="http://schemas.openxmlformats.org/spreadsheetml/2006/main" count="115" uniqueCount="35">
  <si>
    <t>EMAIL'S A SEREM ENVIADOS</t>
  </si>
  <si>
    <t/>
  </si>
  <si>
    <t>EMAIL RCAS</t>
  </si>
  <si>
    <t>EQUIPE</t>
  </si>
  <si>
    <t>C1</t>
  </si>
  <si>
    <t>CONTAINER 1</t>
  </si>
  <si>
    <t>C2</t>
  </si>
  <si>
    <t>Prezados,</t>
  </si>
  <si>
    <t>DEFINIÇÃO DE DATA</t>
  </si>
  <si>
    <t>DIA</t>
  </si>
  <si>
    <t>MÊS</t>
  </si>
  <si>
    <t>C5</t>
  </si>
  <si>
    <t>EQUIPE C1</t>
  </si>
  <si>
    <t>EQUIPE C2</t>
  </si>
  <si>
    <t>MÊS REUNIÃO</t>
  </si>
  <si>
    <t>EQUIPE C5</t>
  </si>
  <si>
    <t>REUNIÃO DE VENDAS 2024</t>
  </si>
  <si>
    <t>GESTORES</t>
  </si>
  <si>
    <t>ANO</t>
  </si>
  <si>
    <t>CONTAINER 2</t>
  </si>
  <si>
    <t>CONTAINER 3</t>
  </si>
  <si>
    <t>RCA’S.</t>
  </si>
  <si>
    <t>Favor se atentarem nas dicas abaixo:</t>
  </si>
  <si>
    <t>1º Se atentar ao horário, permanecera o mesmo da reunião via Skype, início as 08:00hs em ponto, com previsão término as 09h30;</t>
  </si>
  <si>
    <t>PRIMEIRO DIA</t>
  </si>
  <si>
    <t>2° Antes de iniciar a reunião: verifique a conexão com a internet, bateria do notebook, e consequentemente,seu áudio e câmera do equipamento;</t>
  </si>
  <si>
    <t>3° Providenciar um ambiente tranquilo: sem barulho, que não venha causar interferência.</t>
  </si>
  <si>
    <t>Devido à reunião ser via Skype à solicitação de materiais deve ser verificada com o gestor supervisor a possibilidade de entrega de tais itens.</t>
  </si>
  <si>
    <t>Importante: todos os relatórios, como, listagem de cliente, despesas; fechamento, relatórios de comissão dentre outras informações serão - somente -  enviados via e-mail.</t>
  </si>
  <si>
    <t>CONTAINER 4</t>
  </si>
  <si>
    <t>SUBSTITUIR</t>
  </si>
  <si>
    <r>
      <t>Inicio 0</t>
    </r>
    <r>
      <rPr>
        <b/>
        <sz val="28"/>
        <color rgb="FF000000"/>
        <rFont val="Times New Roman"/>
        <family val="1"/>
      </rPr>
      <t>8</t>
    </r>
    <r>
      <rPr>
        <b/>
        <sz val="28"/>
        <color rgb="FF222222"/>
        <rFont val="Times New Roman"/>
        <family val="1"/>
      </rPr>
      <t>:</t>
    </r>
    <r>
      <rPr>
        <b/>
        <sz val="28"/>
        <color rgb="FF000000"/>
        <rFont val="Times New Roman"/>
        <family val="1"/>
      </rPr>
      <t>00</t>
    </r>
    <r>
      <rPr>
        <b/>
        <sz val="28"/>
        <color rgb="FF222222"/>
        <rFont val="Times New Roman"/>
        <family val="1"/>
      </rPr>
      <t> Termino 09:</t>
    </r>
    <r>
      <rPr>
        <b/>
        <sz val="28"/>
        <color rgb="FF000000"/>
        <rFont val="Times New Roman"/>
        <family val="1"/>
      </rPr>
      <t>3</t>
    </r>
    <r>
      <rPr>
        <b/>
        <sz val="28"/>
        <color rgb="FF222222"/>
        <rFont val="Times New Roman"/>
        <family val="1"/>
      </rPr>
      <t>0</t>
    </r>
  </si>
  <si>
    <t>DEPARTAMENTOS</t>
  </si>
  <si>
    <t>WILLIAMCESAR1234</t>
  </si>
  <si>
    <t xml:space="preserve">[Empresa]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</si>
</sst>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2060"/>
      <name val="Arial"/>
      <family val="2"/>
    </font>
    <font>
      <b/>
      <sz val="14"/>
      <color rgb="FFFF0000"/>
      <name val="Arial"/>
      <family val="2"/>
    </font>
    <font>
      <b/>
      <sz val="16"/>
      <color theme="0"/>
      <name val="Calibri"/>
      <family val="2"/>
      <scheme val="minor"/>
    </font>
    <font>
      <sz val="11"/>
      <color rgb="FF002060"/>
      <name val="Arial"/>
      <family val="2"/>
    </font>
    <font>
      <b/>
      <sz val="14"/>
      <color theme="1"/>
      <name val="Calibri"/>
      <family val="2"/>
      <scheme val="minor"/>
    </font>
    <font>
      <b/>
      <sz val="28"/>
      <color rgb="FF222222"/>
      <name val="Times New Roman"/>
      <family val="1"/>
    </font>
    <font>
      <b/>
      <sz val="28"/>
      <color rgb="FF000000"/>
      <name val="Times New Roman"/>
      <family val="1"/>
    </font>
    <font>
      <b/>
      <sz val="16"/>
      <color rgb="FFFF0000"/>
      <name val="Times New Roman"/>
      <family val="1"/>
    </font>
  </fonts>
  <fills count="12">
    <fill>
      <patternFill patternType="none"/>
    </fill>
    <fill>
      <patternFill patternType="gray125"/>
    </fill>
    <fill>
      <patternFill patternType="solid">
        <fgColor rgb="FFEECEE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642F5F"/>
        <bgColor indexed="64"/>
      </patternFill>
    </fill>
    <fill>
      <patternFill patternType="solid">
        <fgColor rgb="FFFBE9FB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1">
    <xf numFmtId="0" fontId="0" fillId="0" borderId="0" xfId="0"/>
    <xf numFmtId="0" fontId="2" fillId="2" borderId="1" xfId="0" applyFont="1" applyFill="1" applyBorder="1"/>
    <xf numFmtId="0" fontId="2" fillId="2" borderId="2" xfId="0" applyFont="1" applyFill="1" applyBorder="1"/>
    <xf numFmtId="0" fontId="2" fillId="2" borderId="3" xfId="0" applyFont="1" applyFill="1" applyBorder="1"/>
    <xf numFmtId="0" fontId="0" fillId="0" borderId="0" xfId="0" quotePrefix="1"/>
    <xf numFmtId="0" fontId="0" fillId="0" borderId="0" xfId="0" applyProtection="1">
      <protection locked="0"/>
    </xf>
    <xf numFmtId="0" fontId="1" fillId="3" borderId="1" xfId="0" applyFont="1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5" borderId="7" xfId="0" applyFill="1" applyBorder="1"/>
    <xf numFmtId="0" fontId="0" fillId="6" borderId="7" xfId="0" applyFill="1" applyBorder="1"/>
    <xf numFmtId="0" fontId="0" fillId="0" borderId="8" xfId="0" applyBorder="1"/>
    <xf numFmtId="0" fontId="0" fillId="0" borderId="9" xfId="0" applyBorder="1"/>
    <xf numFmtId="0" fontId="3" fillId="5" borderId="7" xfId="1" applyFill="1" applyBorder="1"/>
    <xf numFmtId="0" fontId="4" fillId="2" borderId="1" xfId="0" applyFont="1" applyFill="1" applyBorder="1"/>
    <xf numFmtId="0" fontId="4" fillId="2" borderId="2" xfId="0" applyFont="1" applyFill="1" applyBorder="1"/>
    <xf numFmtId="0" fontId="4" fillId="2" borderId="3" xfId="0" applyFont="1" applyFill="1" applyBorder="1"/>
    <xf numFmtId="0" fontId="5" fillId="2" borderId="8" xfId="0" applyFont="1" applyFill="1" applyBorder="1" applyAlignment="1">
      <alignment horizontal="centerContinuous"/>
    </xf>
    <xf numFmtId="0" fontId="2" fillId="2" borderId="0" xfId="0" applyFont="1" applyFill="1" applyAlignment="1">
      <alignment horizontal="centerContinuous"/>
    </xf>
    <xf numFmtId="0" fontId="2" fillId="2" borderId="9" xfId="0" applyFont="1" applyFill="1" applyBorder="1" applyAlignment="1">
      <alignment horizontal="centerContinuous"/>
    </xf>
    <xf numFmtId="0" fontId="6" fillId="0" borderId="8" xfId="0" applyFont="1" applyBorder="1" applyAlignment="1">
      <alignment vertical="center"/>
    </xf>
    <xf numFmtId="0" fontId="8" fillId="7" borderId="8" xfId="0" applyFont="1" applyFill="1" applyBorder="1" applyAlignment="1">
      <alignment horizontal="centerContinuous"/>
    </xf>
    <xf numFmtId="0" fontId="1" fillId="7" borderId="0" xfId="0" applyFont="1" applyFill="1" applyAlignment="1">
      <alignment horizontal="centerContinuous"/>
    </xf>
    <xf numFmtId="0" fontId="1" fillId="7" borderId="9" xfId="0" applyFont="1" applyFill="1" applyBorder="1" applyAlignment="1">
      <alignment horizontal="centerContinuous"/>
    </xf>
    <xf numFmtId="0" fontId="2" fillId="2" borderId="7" xfId="0" applyFont="1" applyFill="1" applyBorder="1" applyAlignment="1">
      <alignment horizontal="center"/>
    </xf>
    <xf numFmtId="0" fontId="9" fillId="0" borderId="8" xfId="0" applyFont="1" applyBorder="1" applyAlignment="1">
      <alignment vertical="center"/>
    </xf>
    <xf numFmtId="0" fontId="0" fillId="0" borderId="0" xfId="0" applyAlignment="1">
      <alignment horizontal="center"/>
    </xf>
    <xf numFmtId="0" fontId="0" fillId="0" borderId="9" xfId="0" applyBorder="1" applyAlignment="1">
      <alignment horizontal="center"/>
    </xf>
    <xf numFmtId="14" fontId="0" fillId="0" borderId="0" xfId="0" applyNumberFormat="1"/>
    <xf numFmtId="0" fontId="5" fillId="2" borderId="7" xfId="0" applyFont="1" applyFill="1" applyBorder="1" applyAlignment="1">
      <alignment horizontal="center" vertical="center" wrapText="1"/>
    </xf>
    <xf numFmtId="0" fontId="5" fillId="2" borderId="7" xfId="0" applyFont="1" applyFill="1" applyBorder="1"/>
    <xf numFmtId="0" fontId="0" fillId="0" borderId="2" xfId="0" applyBorder="1"/>
    <xf numFmtId="0" fontId="0" fillId="0" borderId="3" xfId="0" applyBorder="1"/>
    <xf numFmtId="0" fontId="1" fillId="7" borderId="8" xfId="0" applyFont="1" applyFill="1" applyBorder="1" applyAlignment="1">
      <alignment horizontal="centerContinuous"/>
    </xf>
    <xf numFmtId="0" fontId="0" fillId="2" borderId="10" xfId="0" applyFill="1" applyBorder="1"/>
    <xf numFmtId="0" fontId="0" fillId="8" borderId="7" xfId="0" applyFill="1" applyBorder="1"/>
    <xf numFmtId="0" fontId="1" fillId="7" borderId="7" xfId="0" applyFont="1" applyFill="1" applyBorder="1" applyAlignment="1">
      <alignment horizontal="center"/>
    </xf>
    <xf numFmtId="0" fontId="3" fillId="6" borderId="7" xfId="1" applyFill="1" applyBorder="1"/>
    <xf numFmtId="0" fontId="3" fillId="9" borderId="7" xfId="1" applyFill="1" applyBorder="1"/>
    <xf numFmtId="0" fontId="7" fillId="0" borderId="8" xfId="0" applyFont="1" applyBorder="1" applyAlignment="1">
      <alignment vertical="center"/>
    </xf>
    <xf numFmtId="0" fontId="2" fillId="10" borderId="0" xfId="0" applyFont="1" applyFill="1" applyAlignment="1">
      <alignment horizontal="center" vertical="center"/>
    </xf>
    <xf numFmtId="14" fontId="10" fillId="0" borderId="0" xfId="0" applyNumberFormat="1" applyFont="1" applyAlignment="1">
      <alignment horizontal="center"/>
    </xf>
    <xf numFmtId="0" fontId="3" fillId="0" borderId="7" xfId="1" applyBorder="1"/>
    <xf numFmtId="0" fontId="0" fillId="0" borderId="7" xfId="0" applyBorder="1"/>
    <xf numFmtId="0" fontId="6" fillId="0" borderId="8" xfId="0" applyFont="1" applyBorder="1"/>
    <xf numFmtId="0" fontId="1" fillId="11" borderId="0" xfId="0" applyFont="1" applyFill="1" applyAlignment="1">
      <alignment horizontal="center" vertical="center"/>
    </xf>
    <xf numFmtId="0" fontId="11" fillId="0" borderId="8" xfId="0" applyFont="1" applyBorder="1" applyAlignment="1">
      <alignment vertical="center"/>
    </xf>
    <xf numFmtId="0" fontId="13" fillId="0" borderId="8" xfId="0" applyFont="1" applyBorder="1"/>
    <xf numFmtId="0" fontId="0" fillId="0" borderId="4" xfId="0" quotePrefix="1" applyBorder="1"/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236071</xdr:colOff>
      <xdr:row>13</xdr:row>
      <xdr:rowOff>114458</xdr:rowOff>
    </xdr:from>
    <xdr:to>
      <xdr:col>22</xdr:col>
      <xdr:colOff>295356</xdr:colOff>
      <xdr:row>19</xdr:row>
      <xdr:rowOff>104589</xdr:rowOff>
    </xdr:to>
    <xdr:pic macro="[1]!EMAIL_REUNIÃO">
      <xdr:nvPicPr>
        <xdr:cNvPr id="2" name="Imagem 1" descr="Modernize suas salas de reunião para o home office - Digitalnet Brasil">
          <a:extLst>
            <a:ext uri="{FF2B5EF4-FFF2-40B4-BE49-F238E27FC236}">
              <a16:creationId xmlns:a16="http://schemas.microsoft.com/office/drawing/2014/main" id="{0CCE5044-6C72-4FAC-9C8D-B52C2D82E9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47421" y="2876708"/>
          <a:ext cx="2497685" cy="1295056"/>
        </a:xfrm>
        <a:prstGeom prst="rect">
          <a:avLst/>
        </a:prstGeom>
        <a:noFill/>
        <a:ln w="57150">
          <a:solidFill>
            <a:schemeClr val="tx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13606</xdr:colOff>
      <xdr:row>0</xdr:row>
      <xdr:rowOff>122464</xdr:rowOff>
    </xdr:from>
    <xdr:to>
      <xdr:col>10</xdr:col>
      <xdr:colOff>234932</xdr:colOff>
      <xdr:row>31</xdr:row>
      <xdr:rowOff>2720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40558539-E9CD-4180-BDCD-A32B90E637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90181" y="122464"/>
          <a:ext cx="6022051" cy="6547756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22</xdr:col>
      <xdr:colOff>497122</xdr:colOff>
      <xdr:row>13</xdr:row>
      <xdr:rowOff>54429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7A2502A0-1B47-41BA-8045-813D6E4AC1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86900" y="0"/>
          <a:ext cx="8059972" cy="281667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wcscarvalho/Dropbox/1.V1%20STEFANI%20X%20VENDAS/1%20%20AA%20ROTINA%20HOME-OFF/Vendas/ROTINA%20RCAS/BASE%20DOCS%20RCA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REA DE ATUAÇÃO REPRESENTANTES"/>
      <sheetName val="REUNIÃO DE VENDAS"/>
      <sheetName val="RELATORIOS DIARIOS"/>
      <sheetName val="PALAVRA DO MÊS"/>
      <sheetName val="SOL. BOOKS"/>
      <sheetName val="PNP QUARTA"/>
      <sheetName val="I.R RCAS"/>
      <sheetName val="CALCULO REEMBOLSO GASOLINA"/>
      <sheetName val="ENDEREÇO E KM RCAS"/>
      <sheetName val="LOGIN WEBSUITE RCAS"/>
      <sheetName val="INFORMAÇÕES EMPRESAS RCAS"/>
      <sheetName val="CODIGOS FORNECEDORES"/>
      <sheetName val="N° REEMBOLSO SAP"/>
    </sheetNames>
    <definedNames>
      <definedName name="EMAIL_REUNIÃO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330B9-3366-423B-8587-362B3D536062}">
  <sheetPr codeName="Plan6">
    <tabColor rgb="FF642F5F"/>
  </sheetPr>
  <dimension ref="A1:AC1048576"/>
  <sheetViews>
    <sheetView showGridLines="0" tabSelected="1" zoomScale="70" zoomScaleNormal="70" workbookViewId="0">
      <selection activeCell="L19" sqref="L19"/>
    </sheetView>
  </sheetViews>
  <sheetFormatPr defaultRowHeight="15" x14ac:dyDescent="0.25"/>
  <cols>
    <col min="1" max="1" width="14" customWidth="1"/>
    <col min="3" max="3" width="23" customWidth="1"/>
    <col min="4" max="4" width="12.28515625" customWidth="1"/>
    <col min="5" max="5" width="15.5703125" bestFit="1" customWidth="1"/>
    <col min="6" max="6" width="12.42578125" bestFit="1" customWidth="1"/>
    <col min="7" max="7" width="19.28515625" customWidth="1"/>
    <col min="14" max="14" width="22" customWidth="1"/>
    <col min="21" max="25" width="9.140625" style="5"/>
    <col min="27" max="27" width="37.85546875" hidden="1" customWidth="1"/>
    <col min="28" max="28" width="26.85546875" customWidth="1"/>
    <col min="29" max="29" width="10.28515625" bestFit="1" customWidth="1"/>
  </cols>
  <sheetData>
    <row r="1" spans="1:29" x14ac:dyDescent="0.25">
      <c r="A1" s="1" t="s">
        <v>0</v>
      </c>
      <c r="B1" s="2"/>
      <c r="C1" s="3"/>
      <c r="D1" s="4" t="s">
        <v>1</v>
      </c>
      <c r="AA1" s="6" t="s">
        <v>0</v>
      </c>
      <c r="AB1" s="7" t="s">
        <v>2</v>
      </c>
      <c r="AC1" s="7" t="s">
        <v>3</v>
      </c>
    </row>
    <row r="2" spans="1:29" ht="15.75" thickBot="1" x14ac:dyDescent="0.3">
      <c r="A2" s="50"/>
      <c r="B2" s="9"/>
      <c r="C2" s="10"/>
      <c r="D2" s="4" t="s">
        <v>1</v>
      </c>
      <c r="AA2" s="11"/>
      <c r="AB2" s="12"/>
      <c r="AC2" s="12"/>
    </row>
    <row r="3" spans="1:29" ht="15.75" thickBot="1" x14ac:dyDescent="0.3">
      <c r="A3" s="13"/>
      <c r="C3" s="14"/>
      <c r="AA3" s="15"/>
      <c r="AB3" s="12"/>
      <c r="AC3" s="12"/>
    </row>
    <row r="4" spans="1:29" x14ac:dyDescent="0.25">
      <c r="A4" s="16" t="s">
        <v>0</v>
      </c>
      <c r="B4" s="17"/>
      <c r="C4" s="18"/>
      <c r="AA4" s="11"/>
      <c r="AB4" s="12"/>
      <c r="AC4" s="12"/>
    </row>
    <row r="5" spans="1:29" x14ac:dyDescent="0.25">
      <c r="A5" s="13" t="str">
        <f ca="1">CONCATENATE("Reunião de Vendas ",UPPER(TEXT(DATE(2023,MONTH(TODAY()+ 30),1),"MMMMMMMM"))," ",YEAR(TODAY()))</f>
        <v>Reunião de Vendas JUNHO 2024</v>
      </c>
      <c r="C5" s="14"/>
      <c r="AA5" s="11"/>
      <c r="AB5" s="12"/>
      <c r="AC5" s="12"/>
    </row>
    <row r="6" spans="1:29" x14ac:dyDescent="0.25">
      <c r="A6" s="13"/>
      <c r="C6" s="14"/>
      <c r="AA6" s="15"/>
      <c r="AB6" s="12"/>
      <c r="AC6" s="12"/>
    </row>
    <row r="7" spans="1:29" ht="21" x14ac:dyDescent="0.35">
      <c r="A7" s="19" t="s">
        <v>5</v>
      </c>
      <c r="B7" s="20"/>
      <c r="C7" s="21"/>
      <c r="AA7" s="15"/>
      <c r="AB7" s="12"/>
      <c r="AC7" s="12"/>
    </row>
    <row r="8" spans="1:29" ht="18" x14ac:dyDescent="0.25">
      <c r="A8" s="22"/>
      <c r="C8" s="14"/>
      <c r="D8" s="4" t="s">
        <v>1</v>
      </c>
      <c r="AA8" s="15"/>
      <c r="AB8" s="12"/>
      <c r="AC8" s="12"/>
    </row>
    <row r="9" spans="1:29" ht="18" x14ac:dyDescent="0.25">
      <c r="A9" s="22" t="s">
        <v>7</v>
      </c>
      <c r="C9" s="14"/>
      <c r="D9" s="4" t="s">
        <v>1</v>
      </c>
      <c r="AA9" s="15"/>
      <c r="AB9" s="12"/>
      <c r="AC9" s="12"/>
    </row>
    <row r="10" spans="1:29" ht="18" x14ac:dyDescent="0.25">
      <c r="A10" s="22" t="s">
        <v>34</v>
      </c>
      <c r="C10" s="14"/>
      <c r="D10" s="4" t="s">
        <v>1</v>
      </c>
      <c r="AA10" s="15"/>
      <c r="AB10" s="12"/>
      <c r="AC10" s="12"/>
    </row>
    <row r="11" spans="1:29" x14ac:dyDescent="0.25">
      <c r="A11" s="13"/>
      <c r="C11" s="14"/>
      <c r="AA11" s="15"/>
      <c r="AB11" s="12"/>
      <c r="AC11" s="12"/>
    </row>
    <row r="12" spans="1:29" ht="21" x14ac:dyDescent="0.35">
      <c r="A12" s="23" t="s">
        <v>8</v>
      </c>
      <c r="B12" s="24"/>
      <c r="C12" s="25"/>
      <c r="AA12" s="15"/>
      <c r="AB12" s="12"/>
      <c r="AC12" s="12"/>
    </row>
    <row r="13" spans="1:29" x14ac:dyDescent="0.25">
      <c r="A13" s="26" t="s">
        <v>3</v>
      </c>
      <c r="B13" s="26" t="s">
        <v>9</v>
      </c>
      <c r="C13" s="26" t="s">
        <v>10</v>
      </c>
      <c r="AA13" s="15"/>
      <c r="AB13" s="12"/>
      <c r="AC13" s="12"/>
    </row>
    <row r="14" spans="1:29" ht="15.75" thickBot="1" x14ac:dyDescent="0.3">
      <c r="A14" s="27" t="s">
        <v>12</v>
      </c>
      <c r="B14" s="28">
        <v>7</v>
      </c>
      <c r="C14" s="29">
        <f t="shared" ref="C14:C17" ca="1" si="0">$O$15</f>
        <v>6</v>
      </c>
      <c r="D14" s="30" t="str">
        <f ca="1">TEXT(DATE(YEAR(TODAY()),MONTH(TODAY()+ 30),DAY(B14)),"DD/MM/AAAA")</f>
        <v>07/06/2024</v>
      </c>
      <c r="E14" t="str">
        <f ca="1">UPPER(TEXT(WEEKDAY(D14),"DDDDDDDDDD"))</f>
        <v>SEXTA-FEIRA</v>
      </c>
      <c r="F14" s="30">
        <f ca="1">DATE(YEAR(TODAY()),MONTH(TODAY()+ 30),DAY(B14))</f>
        <v>45450</v>
      </c>
      <c r="AA14" s="15"/>
      <c r="AB14" s="12"/>
      <c r="AC14" s="12"/>
    </row>
    <row r="15" spans="1:29" ht="21" x14ac:dyDescent="0.35">
      <c r="A15" s="27" t="s">
        <v>13</v>
      </c>
      <c r="B15" s="28">
        <v>9</v>
      </c>
      <c r="C15" s="29">
        <f t="shared" ca="1" si="0"/>
        <v>6</v>
      </c>
      <c r="D15" s="30" t="str">
        <f ca="1">TEXT(DATE(YEAR(TODAY()),MONTH(TODAY()+ 30),DAY(B15)),"DD/MM/AAAA")</f>
        <v>09/06/2024</v>
      </c>
      <c r="E15" t="str">
        <f t="shared" ref="E15:E17" ca="1" si="1">UPPER(TEXT(WEEKDAY(D15),"DDDDDDDDDD"))</f>
        <v>DOMINGO</v>
      </c>
      <c r="F15" s="30">
        <f ca="1">DATE(YEAR(TODAY()),MONTH(TODAY()+ 30),DAY(B15))</f>
        <v>45452</v>
      </c>
      <c r="N15" s="31" t="s">
        <v>14</v>
      </c>
      <c r="O15" s="32">
        <f ca="1">MONTH(TODAY()+ 30)</f>
        <v>6</v>
      </c>
      <c r="P15" s="33"/>
      <c r="Q15" s="33"/>
      <c r="R15" s="33"/>
      <c r="S15" s="34"/>
      <c r="AA15" s="15"/>
      <c r="AB15" s="12"/>
      <c r="AC15" s="12"/>
    </row>
    <row r="16" spans="1:29" x14ac:dyDescent="0.25">
      <c r="A16" s="27" t="s">
        <v>15</v>
      </c>
      <c r="B16" s="28">
        <v>3</v>
      </c>
      <c r="C16" s="29">
        <f t="shared" ca="1" si="0"/>
        <v>6</v>
      </c>
      <c r="D16" s="30" t="str">
        <f ca="1">TEXT(DATE(YEAR(TODAY()),MONTH(TODAY()+ 30),DAY(B16)),"DD/MM/AAAA")</f>
        <v>03/06/2024</v>
      </c>
      <c r="E16" t="str">
        <f t="shared" ca="1" si="1"/>
        <v>SEGUNDA-FEIRA</v>
      </c>
      <c r="F16" s="30">
        <f ca="1">DATE(YEAR(TODAY()),MONTH(TODAY()+ 30),DAY(B16))</f>
        <v>45446</v>
      </c>
      <c r="N16" s="35" t="s">
        <v>16</v>
      </c>
      <c r="O16" s="24"/>
      <c r="P16" s="24"/>
      <c r="Q16" s="24"/>
      <c r="S16" s="14"/>
      <c r="AA16" s="15"/>
      <c r="AB16" s="12"/>
      <c r="AC16" s="12"/>
    </row>
    <row r="17" spans="1:29" x14ac:dyDescent="0.25">
      <c r="A17" s="27" t="s">
        <v>17</v>
      </c>
      <c r="B17" s="28">
        <v>6</v>
      </c>
      <c r="C17" s="29">
        <f t="shared" ca="1" si="0"/>
        <v>6</v>
      </c>
      <c r="D17" s="30" t="str">
        <f ca="1">TEXT(DATE(YEAR(TODAY()),MONTH(TODAY()+ 30),DAY(B17)),"DD/MM/AAAA")</f>
        <v>06/06/2024</v>
      </c>
      <c r="E17" t="str">
        <f t="shared" ca="1" si="1"/>
        <v>QUINTA-FEIRA</v>
      </c>
      <c r="F17" s="30">
        <f ca="1">DATE(YEAR(TODAY()),MONTH(TODAY()+ 30),DAY(B17))</f>
        <v>45449</v>
      </c>
      <c r="N17" s="36" t="s">
        <v>18</v>
      </c>
      <c r="O17" s="36" t="s">
        <v>10</v>
      </c>
      <c r="P17" s="36" t="s">
        <v>9</v>
      </c>
      <c r="Q17" s="36" t="s">
        <v>3</v>
      </c>
      <c r="S17" s="14"/>
      <c r="AA17" s="15"/>
      <c r="AB17" s="12"/>
      <c r="AC17" s="12"/>
    </row>
    <row r="18" spans="1:29" x14ac:dyDescent="0.25">
      <c r="A18" s="13"/>
      <c r="C18" s="14"/>
      <c r="N18" s="37">
        <v>2024</v>
      </c>
      <c r="O18" s="37">
        <v>1</v>
      </c>
      <c r="P18" s="38">
        <v>19</v>
      </c>
      <c r="Q18" s="37" t="s">
        <v>4</v>
      </c>
      <c r="R18" s="37">
        <f>P18</f>
        <v>19</v>
      </c>
      <c r="S18" s="37">
        <f>O18</f>
        <v>1</v>
      </c>
      <c r="U18"/>
      <c r="V18"/>
      <c r="W18"/>
      <c r="X18"/>
      <c r="Y18"/>
      <c r="AA18" s="15"/>
      <c r="AB18" s="39"/>
      <c r="AC18" s="12"/>
    </row>
    <row r="19" spans="1:29" ht="21" x14ac:dyDescent="0.35">
      <c r="A19" s="19" t="s">
        <v>19</v>
      </c>
      <c r="B19" s="20"/>
      <c r="C19" s="21"/>
      <c r="N19" s="37">
        <v>2024</v>
      </c>
      <c r="O19" s="37">
        <v>1</v>
      </c>
      <c r="P19" s="38">
        <v>19</v>
      </c>
      <c r="Q19" s="37" t="s">
        <v>6</v>
      </c>
      <c r="R19" s="37">
        <f t="shared" ref="R19:R65" si="2">P19</f>
        <v>19</v>
      </c>
      <c r="S19" s="37">
        <f t="shared" ref="S19:S65" si="3">O19</f>
        <v>1</v>
      </c>
      <c r="U19"/>
      <c r="V19"/>
      <c r="W19"/>
      <c r="X19"/>
      <c r="Y19"/>
      <c r="AA19" s="15"/>
      <c r="AB19" s="12"/>
      <c r="AC19" s="12"/>
    </row>
    <row r="20" spans="1:29" x14ac:dyDescent="0.25">
      <c r="A20" s="13" t="str">
        <f ca="1">CONCATENATE(D14," - ",E14," - ",A14)</f>
        <v>07/06/2024 - SEXTA-FEIRA - EQUIPE C1</v>
      </c>
      <c r="C20" s="14"/>
      <c r="N20" s="37">
        <v>2024</v>
      </c>
      <c r="O20" s="37">
        <v>1</v>
      </c>
      <c r="P20" s="38">
        <v>19</v>
      </c>
      <c r="Q20" s="37" t="s">
        <v>11</v>
      </c>
      <c r="R20" s="37">
        <f t="shared" si="2"/>
        <v>19</v>
      </c>
      <c r="S20" s="37">
        <f t="shared" si="3"/>
        <v>1</v>
      </c>
      <c r="U20"/>
      <c r="V20"/>
      <c r="W20"/>
      <c r="X20"/>
      <c r="Y20"/>
      <c r="AA20" s="15"/>
      <c r="AB20" s="12"/>
      <c r="AC20" s="12"/>
    </row>
    <row r="21" spans="1:29" x14ac:dyDescent="0.25">
      <c r="A21" s="13" t="str">
        <f t="shared" ref="A21:A23" ca="1" si="4">CONCATENATE(D15," - ",E15," - ",A15)</f>
        <v>09/06/2024 - DOMINGO - EQUIPE C2</v>
      </c>
      <c r="C21" s="14"/>
      <c r="N21" s="37">
        <v>2024</v>
      </c>
      <c r="O21" s="37">
        <v>1</v>
      </c>
      <c r="P21" s="38">
        <v>19</v>
      </c>
      <c r="Q21" s="37" t="s">
        <v>17</v>
      </c>
      <c r="R21" s="37">
        <f t="shared" si="2"/>
        <v>19</v>
      </c>
      <c r="S21" s="37">
        <f t="shared" si="3"/>
        <v>1</v>
      </c>
      <c r="U21"/>
      <c r="V21"/>
      <c r="W21"/>
      <c r="X21"/>
      <c r="Y21"/>
      <c r="AA21" s="15"/>
      <c r="AB21" s="12"/>
      <c r="AC21" s="12"/>
    </row>
    <row r="22" spans="1:29" x14ac:dyDescent="0.25">
      <c r="A22" s="13" t="str">
        <f t="shared" ca="1" si="4"/>
        <v>03/06/2024 - SEGUNDA-FEIRA - EQUIPE C5</v>
      </c>
      <c r="C22" s="14"/>
      <c r="N22" s="37">
        <v>2024</v>
      </c>
      <c r="O22" s="37">
        <v>2</v>
      </c>
      <c r="P22" s="38">
        <v>6</v>
      </c>
      <c r="Q22" s="37" t="s">
        <v>4</v>
      </c>
      <c r="R22" s="37">
        <f t="shared" si="2"/>
        <v>6</v>
      </c>
      <c r="S22" s="37">
        <f t="shared" si="3"/>
        <v>2</v>
      </c>
      <c r="AA22" s="15"/>
      <c r="AB22" s="12"/>
      <c r="AC22" s="12"/>
    </row>
    <row r="23" spans="1:29" x14ac:dyDescent="0.25">
      <c r="A23" s="13" t="str">
        <f t="shared" ca="1" si="4"/>
        <v>06/06/2024 - QUINTA-FEIRA - GESTORES</v>
      </c>
      <c r="C23" s="14"/>
      <c r="N23" s="37">
        <v>2024</v>
      </c>
      <c r="O23" s="37">
        <v>2</v>
      </c>
      <c r="P23" s="38">
        <v>8</v>
      </c>
      <c r="Q23" s="37" t="s">
        <v>6</v>
      </c>
      <c r="R23" s="37">
        <f t="shared" si="2"/>
        <v>8</v>
      </c>
      <c r="S23" s="37">
        <f t="shared" si="3"/>
        <v>2</v>
      </c>
      <c r="AA23" s="40"/>
      <c r="AB23" s="12"/>
      <c r="AC23" s="12"/>
    </row>
    <row r="24" spans="1:29" x14ac:dyDescent="0.25">
      <c r="A24" s="13"/>
      <c r="C24" s="14"/>
      <c r="N24" s="37">
        <v>2024</v>
      </c>
      <c r="O24" s="37">
        <v>2</v>
      </c>
      <c r="P24" s="38">
        <v>2</v>
      </c>
      <c r="Q24" s="37" t="s">
        <v>11</v>
      </c>
      <c r="R24" s="37">
        <f t="shared" si="2"/>
        <v>2</v>
      </c>
      <c r="S24" s="37">
        <f t="shared" si="3"/>
        <v>2</v>
      </c>
      <c r="AA24" s="40"/>
      <c r="AB24" s="12"/>
      <c r="AC24" s="12"/>
    </row>
    <row r="25" spans="1:29" ht="21" x14ac:dyDescent="0.35">
      <c r="A25" s="19" t="s">
        <v>20</v>
      </c>
      <c r="B25" s="20"/>
      <c r="C25" s="21"/>
      <c r="N25" s="37">
        <v>2024</v>
      </c>
      <c r="O25" s="37">
        <v>2</v>
      </c>
      <c r="P25" s="38">
        <v>5</v>
      </c>
      <c r="Q25" s="37" t="s">
        <v>17</v>
      </c>
      <c r="R25" s="37">
        <f t="shared" si="2"/>
        <v>5</v>
      </c>
      <c r="S25" s="37">
        <f t="shared" si="3"/>
        <v>2</v>
      </c>
      <c r="AA25" s="40"/>
      <c r="AB25" s="39"/>
      <c r="AC25" s="12"/>
    </row>
    <row r="26" spans="1:29" ht="18" x14ac:dyDescent="0.25">
      <c r="A26" s="41" t="s">
        <v>21</v>
      </c>
      <c r="C26" s="14"/>
      <c r="N26" s="37">
        <v>2024</v>
      </c>
      <c r="O26" s="37">
        <v>3</v>
      </c>
      <c r="P26" s="38">
        <v>5</v>
      </c>
      <c r="Q26" s="37" t="s">
        <v>4</v>
      </c>
      <c r="R26" s="37">
        <f t="shared" si="2"/>
        <v>5</v>
      </c>
      <c r="S26" s="37">
        <f t="shared" si="3"/>
        <v>3</v>
      </c>
      <c r="U26"/>
      <c r="V26"/>
      <c r="W26"/>
      <c r="X26"/>
      <c r="Y26"/>
      <c r="AA26" s="40"/>
      <c r="AB26" s="12"/>
      <c r="AC26" s="12"/>
    </row>
    <row r="27" spans="1:29" ht="18" x14ac:dyDescent="0.25">
      <c r="A27" s="22" t="s">
        <v>22</v>
      </c>
      <c r="C27" s="14"/>
      <c r="D27" s="4" t="s">
        <v>1</v>
      </c>
      <c r="N27" s="37">
        <v>2024</v>
      </c>
      <c r="O27" s="37">
        <v>3</v>
      </c>
      <c r="P27" s="38">
        <v>7</v>
      </c>
      <c r="Q27" s="37" t="s">
        <v>6</v>
      </c>
      <c r="R27" s="37">
        <f t="shared" si="2"/>
        <v>7</v>
      </c>
      <c r="S27" s="37">
        <f t="shared" si="3"/>
        <v>3</v>
      </c>
      <c r="U27"/>
      <c r="V27"/>
      <c r="W27"/>
      <c r="X27"/>
      <c r="Y27"/>
      <c r="AA27" s="40"/>
      <c r="AB27" s="12"/>
      <c r="AC27" s="12"/>
    </row>
    <row r="28" spans="1:29" ht="18" x14ac:dyDescent="0.25">
      <c r="A28" s="22" t="s">
        <v>23</v>
      </c>
      <c r="C28" s="14"/>
      <c r="D28" s="4" t="s">
        <v>1</v>
      </c>
      <c r="E28" s="42" t="s">
        <v>24</v>
      </c>
      <c r="N28" s="37">
        <v>2024</v>
      </c>
      <c r="O28" s="37">
        <v>3</v>
      </c>
      <c r="P28" s="38">
        <v>8</v>
      </c>
      <c r="Q28" s="37" t="s">
        <v>11</v>
      </c>
      <c r="R28" s="37">
        <f t="shared" si="2"/>
        <v>8</v>
      </c>
      <c r="S28" s="37">
        <f t="shared" si="3"/>
        <v>3</v>
      </c>
      <c r="U28"/>
      <c r="V28"/>
      <c r="W28"/>
      <c r="X28"/>
      <c r="Y28"/>
      <c r="AA28" s="40"/>
      <c r="AB28" s="12"/>
      <c r="AC28" s="12"/>
    </row>
    <row r="29" spans="1:29" ht="18.75" x14ac:dyDescent="0.3">
      <c r="A29" s="22" t="s">
        <v>25</v>
      </c>
      <c r="C29" s="14"/>
      <c r="D29" s="4" t="s">
        <v>1</v>
      </c>
      <c r="E29" s="43">
        <f ca="1">MIN(F14:F17)</f>
        <v>45446</v>
      </c>
      <c r="F29" s="30">
        <f ca="1">E29</f>
        <v>45446</v>
      </c>
      <c r="N29" s="37">
        <v>2024</v>
      </c>
      <c r="O29" s="37">
        <v>3</v>
      </c>
      <c r="P29" s="38">
        <v>4</v>
      </c>
      <c r="Q29" s="37" t="s">
        <v>17</v>
      </c>
      <c r="R29" s="37">
        <f t="shared" si="2"/>
        <v>4</v>
      </c>
      <c r="S29" s="37">
        <f t="shared" si="3"/>
        <v>3</v>
      </c>
      <c r="U29"/>
      <c r="V29"/>
      <c r="W29"/>
      <c r="X29"/>
      <c r="Y29"/>
      <c r="AA29" s="44"/>
      <c r="AB29" s="12"/>
      <c r="AC29" s="12"/>
    </row>
    <row r="30" spans="1:29" ht="18" x14ac:dyDescent="0.25">
      <c r="A30" s="22" t="s">
        <v>26</v>
      </c>
      <c r="C30" s="14"/>
      <c r="D30" s="4" t="s">
        <v>1</v>
      </c>
      <c r="F30" t="str">
        <f ca="1">TEXT(DATE(YEAR(F29),MONTH(F29),DAY(F29))-2,"DD/MM/AAAA")</f>
        <v>01/06/2024</v>
      </c>
      <c r="N30" s="37">
        <v>2024</v>
      </c>
      <c r="O30" s="37">
        <v>4</v>
      </c>
      <c r="P30" s="38">
        <v>12</v>
      </c>
      <c r="Q30" s="37" t="s">
        <v>4</v>
      </c>
      <c r="R30" s="37">
        <f t="shared" si="2"/>
        <v>12</v>
      </c>
      <c r="S30" s="37">
        <f t="shared" si="3"/>
        <v>4</v>
      </c>
      <c r="U30"/>
      <c r="V30"/>
      <c r="W30"/>
      <c r="X30"/>
      <c r="Y30"/>
      <c r="AA30" s="44"/>
      <c r="AB30" s="39"/>
      <c r="AC30" s="12"/>
    </row>
    <row r="31" spans="1:29" ht="18" x14ac:dyDescent="0.25">
      <c r="A31" s="22" t="s">
        <v>27</v>
      </c>
      <c r="C31" s="14"/>
      <c r="D31" s="4" t="s">
        <v>1</v>
      </c>
      <c r="N31" s="37">
        <v>2024</v>
      </c>
      <c r="O31" s="37">
        <v>4</v>
      </c>
      <c r="P31" s="38">
        <v>12</v>
      </c>
      <c r="Q31" s="37" t="s">
        <v>6</v>
      </c>
      <c r="R31" s="37">
        <f t="shared" si="2"/>
        <v>12</v>
      </c>
      <c r="S31" s="37">
        <f t="shared" si="3"/>
        <v>4</v>
      </c>
      <c r="U31"/>
      <c r="V31"/>
      <c r="W31"/>
      <c r="X31"/>
      <c r="Y31"/>
      <c r="AA31" s="45"/>
      <c r="AB31" s="39"/>
      <c r="AC31" s="12"/>
    </row>
    <row r="32" spans="1:29" ht="18" x14ac:dyDescent="0.25">
      <c r="A32" s="46" t="s">
        <v>28</v>
      </c>
      <c r="C32" s="14"/>
      <c r="D32" s="4" t="s">
        <v>1</v>
      </c>
      <c r="N32" s="37">
        <v>2024</v>
      </c>
      <c r="O32" s="37">
        <v>4</v>
      </c>
      <c r="P32" s="38">
        <v>12</v>
      </c>
      <c r="Q32" s="37" t="s">
        <v>11</v>
      </c>
      <c r="R32" s="37">
        <f t="shared" si="2"/>
        <v>12</v>
      </c>
      <c r="S32" s="37">
        <f t="shared" si="3"/>
        <v>4</v>
      </c>
      <c r="U32"/>
      <c r="V32"/>
      <c r="W32"/>
      <c r="X32"/>
      <c r="Y32"/>
      <c r="AA32" s="44"/>
      <c r="AB32" s="39"/>
      <c r="AC32" s="12"/>
    </row>
    <row r="33" spans="1:29" x14ac:dyDescent="0.25">
      <c r="A33" s="13"/>
      <c r="C33" s="14"/>
      <c r="N33" s="37">
        <v>2024</v>
      </c>
      <c r="O33" s="37">
        <v>4</v>
      </c>
      <c r="P33" s="38">
        <v>12</v>
      </c>
      <c r="Q33" s="37" t="s">
        <v>17</v>
      </c>
      <c r="R33" s="37">
        <f t="shared" si="2"/>
        <v>12</v>
      </c>
      <c r="S33" s="37">
        <f t="shared" si="3"/>
        <v>4</v>
      </c>
      <c r="U33"/>
      <c r="V33"/>
      <c r="W33"/>
      <c r="X33"/>
      <c r="Y33"/>
      <c r="AA33" s="45"/>
      <c r="AB33" s="39"/>
      <c r="AC33" s="12"/>
    </row>
    <row r="34" spans="1:29" ht="21" x14ac:dyDescent="0.35">
      <c r="A34" s="19" t="s">
        <v>29</v>
      </c>
      <c r="B34" s="20"/>
      <c r="C34" s="21"/>
      <c r="E34" s="47" t="s">
        <v>30</v>
      </c>
      <c r="N34" s="37">
        <v>2024</v>
      </c>
      <c r="O34" s="37">
        <v>5</v>
      </c>
      <c r="P34" s="38">
        <v>7</v>
      </c>
      <c r="Q34" s="37" t="s">
        <v>4</v>
      </c>
      <c r="R34" s="37">
        <f t="shared" si="2"/>
        <v>7</v>
      </c>
      <c r="S34" s="37">
        <f t="shared" si="3"/>
        <v>5</v>
      </c>
      <c r="U34"/>
      <c r="V34"/>
      <c r="W34"/>
      <c r="X34"/>
      <c r="Y34"/>
      <c r="AA34" s="45"/>
      <c r="AB34" s="12"/>
      <c r="AC34" s="12"/>
    </row>
    <row r="35" spans="1:29" ht="34.5" x14ac:dyDescent="0.25">
      <c r="A35" s="48" t="s">
        <v>31</v>
      </c>
      <c r="C35" s="14"/>
      <c r="D35" s="4" t="s">
        <v>1</v>
      </c>
      <c r="E35" t="str">
        <f ca="1">CONCATENATE("até o dia ",(F30))</f>
        <v>até o dia 01/06/2024</v>
      </c>
      <c r="N35" s="37">
        <v>2024</v>
      </c>
      <c r="O35" s="37">
        <v>5</v>
      </c>
      <c r="P35" s="38">
        <v>9</v>
      </c>
      <c r="Q35" s="37" t="s">
        <v>6</v>
      </c>
      <c r="R35" s="37">
        <f t="shared" si="2"/>
        <v>9</v>
      </c>
      <c r="S35" s="37">
        <f t="shared" si="3"/>
        <v>5</v>
      </c>
      <c r="U35"/>
      <c r="V35"/>
      <c r="W35"/>
      <c r="X35"/>
      <c r="Y35"/>
      <c r="AA35" s="45"/>
      <c r="AB35" s="12"/>
      <c r="AC35" s="12"/>
    </row>
    <row r="36" spans="1:29" ht="20.25" x14ac:dyDescent="0.3">
      <c r="A36" s="49" t="s">
        <v>32</v>
      </c>
      <c r="C36" s="14"/>
      <c r="D36" s="4" t="s">
        <v>1</v>
      </c>
      <c r="N36" s="37">
        <v>2024</v>
      </c>
      <c r="O36" s="37">
        <v>5</v>
      </c>
      <c r="P36" s="38">
        <v>3</v>
      </c>
      <c r="Q36" s="37" t="s">
        <v>11</v>
      </c>
      <c r="R36" s="37">
        <f t="shared" si="2"/>
        <v>3</v>
      </c>
      <c r="S36" s="37">
        <f t="shared" si="3"/>
        <v>5</v>
      </c>
      <c r="U36"/>
      <c r="V36"/>
      <c r="W36" s="4"/>
      <c r="X36"/>
      <c r="Y36"/>
      <c r="AA36" s="45"/>
      <c r="AB36" s="12"/>
      <c r="AC36" s="12"/>
    </row>
    <row r="37" spans="1:29" ht="18" x14ac:dyDescent="0.25">
      <c r="A37" s="46" t="str">
        <f ca="1">CONCATENATE("Por gentileza, as apresentações deverão estar no caminho abaixo até o dia ",(F30)," caso não consiga estar realocando a apresentação, encaminhar um E-mail à Vendas justificando o motivo.")</f>
        <v>Por gentileza, as apresentações deverão estar no caminho abaixo até o dia 01/06/2024 caso não consiga estar realocando a apresentação, encaminhar um E-mail à Vendas justificando o motivo.</v>
      </c>
      <c r="C37" s="14"/>
      <c r="D37" s="4" t="s">
        <v>1</v>
      </c>
      <c r="N37" s="37">
        <v>2024</v>
      </c>
      <c r="O37" s="37">
        <v>5</v>
      </c>
      <c r="P37" s="38">
        <v>6</v>
      </c>
      <c r="Q37" s="37" t="s">
        <v>17</v>
      </c>
      <c r="R37" s="37">
        <f t="shared" si="2"/>
        <v>6</v>
      </c>
      <c r="S37" s="37">
        <f t="shared" si="3"/>
        <v>5</v>
      </c>
      <c r="U37"/>
      <c r="V37"/>
      <c r="W37"/>
      <c r="X37"/>
      <c r="Y37"/>
      <c r="AA37" s="45"/>
      <c r="AB37" s="12"/>
      <c r="AC37" s="12"/>
    </row>
    <row r="38" spans="1:29" ht="15.75" thickBot="1" x14ac:dyDescent="0.3">
      <c r="A38" s="8" t="str">
        <f ca="1">CONCATENATE("Caminho: Dropbox\TIME GESTORES\REUNIÃO DE VENDAS SKYPE\",YEAR(TODAY()+ 0),"\",TEXT(DATE(2023,MONTH(TODAY()+ 25),1),"MM"),". ",UPPER(TEXT(DATE(2023,MONTH(TODAY()+25),1),"MMMMMMMMMM")))</f>
        <v>Caminho: Dropbox\TIME GESTORES\REUNIÃO DE VENDAS SKYPE\2024\06. JUNHO</v>
      </c>
      <c r="B38" s="9"/>
      <c r="C38" s="10"/>
      <c r="D38" s="4" t="s">
        <v>1</v>
      </c>
      <c r="N38" s="37">
        <v>2024</v>
      </c>
      <c r="O38" s="37">
        <v>6</v>
      </c>
      <c r="P38" s="38">
        <v>4</v>
      </c>
      <c r="Q38" s="37" t="s">
        <v>4</v>
      </c>
      <c r="R38" s="37">
        <f t="shared" si="2"/>
        <v>4</v>
      </c>
      <c r="S38" s="37">
        <f t="shared" si="3"/>
        <v>6</v>
      </c>
      <c r="U38"/>
      <c r="V38"/>
      <c r="W38"/>
      <c r="X38"/>
      <c r="Y38"/>
      <c r="AA38" s="45"/>
      <c r="AB38" s="12"/>
      <c r="AC38" s="12"/>
    </row>
    <row r="39" spans="1:29" x14ac:dyDescent="0.25">
      <c r="D39" s="4"/>
      <c r="N39" s="37">
        <v>2024</v>
      </c>
      <c r="O39" s="37">
        <v>6</v>
      </c>
      <c r="P39" s="38">
        <v>6</v>
      </c>
      <c r="Q39" s="37" t="s">
        <v>6</v>
      </c>
      <c r="R39" s="37">
        <f t="shared" si="2"/>
        <v>6</v>
      </c>
      <c r="S39" s="37">
        <f t="shared" si="3"/>
        <v>6</v>
      </c>
      <c r="U39"/>
      <c r="V39"/>
      <c r="W39"/>
      <c r="X39"/>
      <c r="Y39"/>
      <c r="AA39" s="45"/>
      <c r="AB39" s="12"/>
      <c r="AC39" s="12"/>
    </row>
    <row r="40" spans="1:29" x14ac:dyDescent="0.25">
      <c r="N40" s="37">
        <v>2024</v>
      </c>
      <c r="O40" s="37">
        <v>6</v>
      </c>
      <c r="P40" s="38">
        <v>7</v>
      </c>
      <c r="Q40" s="37" t="s">
        <v>11</v>
      </c>
      <c r="R40" s="37">
        <f t="shared" si="2"/>
        <v>7</v>
      </c>
      <c r="S40" s="37">
        <f t="shared" si="3"/>
        <v>6</v>
      </c>
      <c r="U40"/>
      <c r="V40"/>
      <c r="W40"/>
      <c r="X40"/>
      <c r="Y40"/>
      <c r="AA40" s="45"/>
      <c r="AB40" s="12"/>
      <c r="AC40" s="12"/>
    </row>
    <row r="41" spans="1:29" x14ac:dyDescent="0.25">
      <c r="N41" s="37">
        <v>2024</v>
      </c>
      <c r="O41" s="37">
        <v>6</v>
      </c>
      <c r="P41" s="38">
        <v>10</v>
      </c>
      <c r="Q41" s="37" t="s">
        <v>17</v>
      </c>
      <c r="R41" s="37">
        <f t="shared" si="2"/>
        <v>10</v>
      </c>
      <c r="S41" s="37">
        <f t="shared" si="3"/>
        <v>6</v>
      </c>
      <c r="U41"/>
      <c r="V41"/>
      <c r="W41"/>
      <c r="X41"/>
      <c r="Y41"/>
      <c r="AA41" s="45"/>
      <c r="AB41" s="12"/>
      <c r="AC41" s="12"/>
    </row>
    <row r="42" spans="1:29" x14ac:dyDescent="0.25">
      <c r="N42" s="37">
        <v>2024</v>
      </c>
      <c r="O42" s="37">
        <v>7</v>
      </c>
      <c r="P42" s="38">
        <v>12</v>
      </c>
      <c r="Q42" s="37" t="s">
        <v>4</v>
      </c>
      <c r="R42" s="37">
        <f t="shared" si="2"/>
        <v>12</v>
      </c>
      <c r="S42" s="37">
        <f t="shared" si="3"/>
        <v>7</v>
      </c>
      <c r="U42"/>
      <c r="V42"/>
      <c r="W42"/>
      <c r="X42"/>
      <c r="Y42"/>
      <c r="AA42" s="45"/>
      <c r="AB42" s="12"/>
      <c r="AC42" s="12"/>
    </row>
    <row r="43" spans="1:29" x14ac:dyDescent="0.25">
      <c r="N43" s="37">
        <v>2024</v>
      </c>
      <c r="O43" s="37">
        <v>7</v>
      </c>
      <c r="P43" s="38">
        <v>12</v>
      </c>
      <c r="Q43" s="37" t="s">
        <v>6</v>
      </c>
      <c r="R43" s="37">
        <f t="shared" si="2"/>
        <v>12</v>
      </c>
      <c r="S43" s="37">
        <f t="shared" si="3"/>
        <v>7</v>
      </c>
      <c r="U43"/>
      <c r="V43"/>
      <c r="W43"/>
      <c r="X43"/>
      <c r="Y43"/>
      <c r="AA43" s="45"/>
      <c r="AB43" s="12"/>
      <c r="AC43" s="12"/>
    </row>
    <row r="44" spans="1:29" x14ac:dyDescent="0.25">
      <c r="N44" s="37">
        <v>2024</v>
      </c>
      <c r="O44" s="37">
        <v>7</v>
      </c>
      <c r="P44" s="38">
        <v>12</v>
      </c>
      <c r="Q44" s="37" t="s">
        <v>11</v>
      </c>
      <c r="R44" s="37">
        <f t="shared" si="2"/>
        <v>12</v>
      </c>
      <c r="S44" s="37">
        <f t="shared" si="3"/>
        <v>7</v>
      </c>
      <c r="U44"/>
      <c r="V44"/>
      <c r="W44"/>
      <c r="X44"/>
      <c r="Y44"/>
      <c r="AA44" s="44"/>
      <c r="AB44" s="12"/>
      <c r="AC44" s="12"/>
    </row>
    <row r="45" spans="1:29" x14ac:dyDescent="0.25">
      <c r="N45" s="37">
        <v>2024</v>
      </c>
      <c r="O45" s="37">
        <v>7</v>
      </c>
      <c r="P45" s="38">
        <v>12</v>
      </c>
      <c r="Q45" s="37" t="s">
        <v>17</v>
      </c>
      <c r="R45" s="37">
        <f t="shared" si="2"/>
        <v>12</v>
      </c>
      <c r="S45" s="37">
        <f t="shared" si="3"/>
        <v>7</v>
      </c>
      <c r="U45"/>
      <c r="V45"/>
      <c r="W45"/>
      <c r="X45"/>
      <c r="Y45"/>
      <c r="AA45" s="40"/>
      <c r="AB45" s="12"/>
      <c r="AC45" s="12"/>
    </row>
    <row r="46" spans="1:29" x14ac:dyDescent="0.25">
      <c r="N46" s="37">
        <v>2024</v>
      </c>
      <c r="O46" s="37">
        <v>8</v>
      </c>
      <c r="P46" s="38">
        <v>2</v>
      </c>
      <c r="Q46" s="37" t="s">
        <v>4</v>
      </c>
      <c r="R46" s="37">
        <f t="shared" si="2"/>
        <v>2</v>
      </c>
      <c r="S46" s="37">
        <f t="shared" si="3"/>
        <v>8</v>
      </c>
      <c r="AA46" s="45"/>
      <c r="AB46" s="12"/>
      <c r="AC46" s="12"/>
    </row>
    <row r="47" spans="1:29" x14ac:dyDescent="0.25">
      <c r="N47" s="37">
        <v>2024</v>
      </c>
      <c r="O47" s="37">
        <v>8</v>
      </c>
      <c r="P47" s="38">
        <v>6</v>
      </c>
      <c r="Q47" s="37" t="s">
        <v>6</v>
      </c>
      <c r="R47" s="37">
        <f t="shared" si="2"/>
        <v>6</v>
      </c>
      <c r="S47" s="37">
        <f t="shared" si="3"/>
        <v>8</v>
      </c>
      <c r="AA47" s="45"/>
      <c r="AB47" s="12"/>
      <c r="AC47" s="12"/>
    </row>
    <row r="48" spans="1:29" x14ac:dyDescent="0.25">
      <c r="N48" s="37">
        <v>2024</v>
      </c>
      <c r="O48" s="37">
        <v>8</v>
      </c>
      <c r="P48" s="38">
        <v>10</v>
      </c>
      <c r="Q48" s="37" t="s">
        <v>11</v>
      </c>
      <c r="R48" s="37">
        <f t="shared" si="2"/>
        <v>10</v>
      </c>
      <c r="S48" s="37">
        <f t="shared" si="3"/>
        <v>8</v>
      </c>
      <c r="AA48" s="45"/>
      <c r="AB48" s="12"/>
      <c r="AC48" s="12"/>
    </row>
    <row r="49" spans="8:19" x14ac:dyDescent="0.25">
      <c r="N49" s="37">
        <v>2024</v>
      </c>
      <c r="O49" s="37">
        <v>8</v>
      </c>
      <c r="P49" s="38">
        <v>5</v>
      </c>
      <c r="Q49" s="37" t="s">
        <v>17</v>
      </c>
      <c r="R49" s="37">
        <f t="shared" si="2"/>
        <v>5</v>
      </c>
      <c r="S49" s="37">
        <f t="shared" si="3"/>
        <v>8</v>
      </c>
    </row>
    <row r="50" spans="8:19" x14ac:dyDescent="0.25">
      <c r="N50" s="37">
        <v>2024</v>
      </c>
      <c r="O50" s="37">
        <v>9</v>
      </c>
      <c r="P50" s="38">
        <v>3</v>
      </c>
      <c r="Q50" s="37" t="s">
        <v>4</v>
      </c>
      <c r="R50" s="37">
        <f t="shared" si="2"/>
        <v>3</v>
      </c>
      <c r="S50" s="37">
        <f t="shared" si="3"/>
        <v>9</v>
      </c>
    </row>
    <row r="51" spans="8:19" x14ac:dyDescent="0.25">
      <c r="H51" s="4" t="s">
        <v>1</v>
      </c>
      <c r="N51" s="37">
        <v>2024</v>
      </c>
      <c r="O51" s="37">
        <v>9</v>
      </c>
      <c r="P51" s="38">
        <v>5</v>
      </c>
      <c r="Q51" s="37" t="s">
        <v>6</v>
      </c>
      <c r="R51" s="37">
        <f t="shared" si="2"/>
        <v>5</v>
      </c>
      <c r="S51" s="37">
        <f t="shared" si="3"/>
        <v>9</v>
      </c>
    </row>
    <row r="52" spans="8:19" x14ac:dyDescent="0.25">
      <c r="N52" s="37">
        <v>2024</v>
      </c>
      <c r="O52" s="37">
        <v>9</v>
      </c>
      <c r="P52" s="38">
        <v>6</v>
      </c>
      <c r="Q52" s="37" t="s">
        <v>11</v>
      </c>
      <c r="R52" s="37">
        <f t="shared" si="2"/>
        <v>6</v>
      </c>
      <c r="S52" s="37">
        <f t="shared" si="3"/>
        <v>9</v>
      </c>
    </row>
    <row r="53" spans="8:19" x14ac:dyDescent="0.25">
      <c r="N53" s="37">
        <v>2024</v>
      </c>
      <c r="O53" s="37">
        <v>9</v>
      </c>
      <c r="P53" s="38">
        <v>9</v>
      </c>
      <c r="Q53" s="37" t="s">
        <v>17</v>
      </c>
      <c r="R53" s="37">
        <f t="shared" si="2"/>
        <v>9</v>
      </c>
      <c r="S53" s="37">
        <f t="shared" si="3"/>
        <v>9</v>
      </c>
    </row>
    <row r="54" spans="8:19" x14ac:dyDescent="0.25">
      <c r="H54" s="4" t="s">
        <v>1</v>
      </c>
      <c r="N54" s="37">
        <v>2024</v>
      </c>
      <c r="O54" s="37">
        <v>10</v>
      </c>
      <c r="P54" s="38">
        <v>11</v>
      </c>
      <c r="Q54" s="37" t="s">
        <v>4</v>
      </c>
      <c r="R54" s="37">
        <f t="shared" si="2"/>
        <v>11</v>
      </c>
      <c r="S54" s="37">
        <f t="shared" si="3"/>
        <v>10</v>
      </c>
    </row>
    <row r="55" spans="8:19" x14ac:dyDescent="0.25">
      <c r="H55" s="4" t="s">
        <v>1</v>
      </c>
      <c r="N55" s="37">
        <v>2024</v>
      </c>
      <c r="O55" s="37">
        <v>10</v>
      </c>
      <c r="P55" s="38">
        <v>11</v>
      </c>
      <c r="Q55" s="37" t="s">
        <v>6</v>
      </c>
      <c r="R55" s="37">
        <f t="shared" si="2"/>
        <v>11</v>
      </c>
      <c r="S55" s="37">
        <f t="shared" si="3"/>
        <v>10</v>
      </c>
    </row>
    <row r="56" spans="8:19" x14ac:dyDescent="0.25">
      <c r="N56" s="37">
        <v>2024</v>
      </c>
      <c r="O56" s="37">
        <v>10</v>
      </c>
      <c r="P56" s="38">
        <v>11</v>
      </c>
      <c r="Q56" s="37" t="s">
        <v>11</v>
      </c>
      <c r="R56" s="37">
        <f t="shared" si="2"/>
        <v>11</v>
      </c>
      <c r="S56" s="37">
        <f t="shared" si="3"/>
        <v>10</v>
      </c>
    </row>
    <row r="57" spans="8:19" x14ac:dyDescent="0.25">
      <c r="N57" s="37">
        <v>2024</v>
      </c>
      <c r="O57" s="37">
        <v>10</v>
      </c>
      <c r="P57" s="38">
        <v>11</v>
      </c>
      <c r="Q57" s="37" t="s">
        <v>17</v>
      </c>
      <c r="R57" s="37">
        <f t="shared" si="2"/>
        <v>11</v>
      </c>
      <c r="S57" s="37">
        <f t="shared" si="3"/>
        <v>10</v>
      </c>
    </row>
    <row r="58" spans="8:19" x14ac:dyDescent="0.25">
      <c r="H58" s="4" t="s">
        <v>1</v>
      </c>
      <c r="N58" s="37">
        <v>2024</v>
      </c>
      <c r="O58" s="37">
        <v>11</v>
      </c>
      <c r="P58" s="38">
        <v>5</v>
      </c>
      <c r="Q58" s="37" t="s">
        <v>4</v>
      </c>
      <c r="R58" s="37">
        <f t="shared" si="2"/>
        <v>5</v>
      </c>
      <c r="S58" s="37">
        <f t="shared" si="3"/>
        <v>11</v>
      </c>
    </row>
    <row r="59" spans="8:19" x14ac:dyDescent="0.25">
      <c r="N59" s="37">
        <v>2024</v>
      </c>
      <c r="O59" s="37">
        <v>11</v>
      </c>
      <c r="P59" s="38">
        <v>7</v>
      </c>
      <c r="Q59" s="37" t="s">
        <v>6</v>
      </c>
      <c r="R59" s="37">
        <f t="shared" si="2"/>
        <v>7</v>
      </c>
      <c r="S59" s="37">
        <f t="shared" si="3"/>
        <v>11</v>
      </c>
    </row>
    <row r="60" spans="8:19" x14ac:dyDescent="0.25">
      <c r="H60" s="4" t="s">
        <v>1</v>
      </c>
      <c r="N60" s="37">
        <v>2024</v>
      </c>
      <c r="O60" s="37">
        <v>11</v>
      </c>
      <c r="P60" s="38">
        <v>8</v>
      </c>
      <c r="Q60" s="37" t="s">
        <v>11</v>
      </c>
      <c r="R60" s="37">
        <f t="shared" si="2"/>
        <v>8</v>
      </c>
      <c r="S60" s="37">
        <f t="shared" si="3"/>
        <v>11</v>
      </c>
    </row>
    <row r="61" spans="8:19" x14ac:dyDescent="0.25">
      <c r="H61" s="4" t="s">
        <v>1</v>
      </c>
      <c r="N61" s="37">
        <v>2024</v>
      </c>
      <c r="O61" s="37">
        <v>11</v>
      </c>
      <c r="P61" s="38">
        <v>4</v>
      </c>
      <c r="Q61" s="37" t="s">
        <v>17</v>
      </c>
      <c r="R61" s="37">
        <f t="shared" si="2"/>
        <v>4</v>
      </c>
      <c r="S61" s="37">
        <f t="shared" si="3"/>
        <v>11</v>
      </c>
    </row>
    <row r="62" spans="8:19" x14ac:dyDescent="0.25">
      <c r="H62" s="4" t="s">
        <v>1</v>
      </c>
      <c r="N62" s="37">
        <v>2024</v>
      </c>
      <c r="O62" s="37">
        <v>12</v>
      </c>
      <c r="P62" s="38">
        <v>10</v>
      </c>
      <c r="Q62" s="37" t="s">
        <v>4</v>
      </c>
      <c r="R62" s="37">
        <f t="shared" si="2"/>
        <v>10</v>
      </c>
      <c r="S62" s="37">
        <f t="shared" si="3"/>
        <v>12</v>
      </c>
    </row>
    <row r="63" spans="8:19" x14ac:dyDescent="0.25">
      <c r="H63" s="4" t="s">
        <v>1</v>
      </c>
      <c r="N63" s="37">
        <v>2024</v>
      </c>
      <c r="O63" s="37">
        <v>12</v>
      </c>
      <c r="P63" s="38">
        <v>5</v>
      </c>
      <c r="Q63" s="37" t="s">
        <v>6</v>
      </c>
      <c r="R63" s="37">
        <f t="shared" si="2"/>
        <v>5</v>
      </c>
      <c r="S63" s="37">
        <f t="shared" si="3"/>
        <v>12</v>
      </c>
    </row>
    <row r="64" spans="8:19" x14ac:dyDescent="0.25">
      <c r="N64" s="37">
        <v>2024</v>
      </c>
      <c r="O64" s="37">
        <v>12</v>
      </c>
      <c r="P64" s="38">
        <v>6</v>
      </c>
      <c r="Q64" s="37" t="s">
        <v>11</v>
      </c>
      <c r="R64" s="37">
        <f t="shared" si="2"/>
        <v>6</v>
      </c>
      <c r="S64" s="37">
        <f t="shared" si="3"/>
        <v>12</v>
      </c>
    </row>
    <row r="65" spans="8:19" x14ac:dyDescent="0.25">
      <c r="H65" s="4" t="s">
        <v>1</v>
      </c>
      <c r="N65" s="37">
        <v>2024</v>
      </c>
      <c r="O65" s="37">
        <v>12</v>
      </c>
      <c r="P65" s="38"/>
      <c r="Q65" s="37" t="s">
        <v>17</v>
      </c>
      <c r="R65" s="37">
        <f t="shared" si="2"/>
        <v>0</v>
      </c>
      <c r="S65" s="37">
        <f t="shared" si="3"/>
        <v>12</v>
      </c>
    </row>
    <row r="66" spans="8:19" x14ac:dyDescent="0.25">
      <c r="H66" s="4" t="s">
        <v>1</v>
      </c>
    </row>
    <row r="67" spans="8:19" x14ac:dyDescent="0.25">
      <c r="H67" s="4" t="s">
        <v>1</v>
      </c>
    </row>
    <row r="68" spans="8:19" x14ac:dyDescent="0.25">
      <c r="H68" s="4" t="s">
        <v>1</v>
      </c>
    </row>
    <row r="72" spans="8:19" x14ac:dyDescent="0.25">
      <c r="H72" s="4" t="s">
        <v>1</v>
      </c>
    </row>
    <row r="73" spans="8:19" x14ac:dyDescent="0.25">
      <c r="H73" s="4" t="s">
        <v>1</v>
      </c>
    </row>
    <row r="77" spans="8:19" x14ac:dyDescent="0.25">
      <c r="H77" s="4" t="s">
        <v>1</v>
      </c>
    </row>
    <row r="1048576" spans="1:1" x14ac:dyDescent="0.25">
      <c r="A1048576" t="s">
        <v>33</v>
      </c>
    </row>
  </sheetData>
  <autoFilter ref="N17:Q65" xr:uid="{00000000-0009-0000-0000-000001000000}"/>
  <pageMargins left="0.511811024" right="0.511811024" top="0.78740157499999996" bottom="0.78740157499999996" header="0.31496062000000002" footer="0.31496062000000002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REUNIÃO DE VENDAS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Cesar Silva de Carvalho</dc:creator>
  <cp:lastModifiedBy>William Cesar Silva de Carvalho</cp:lastModifiedBy>
  <dcterms:created xsi:type="dcterms:W3CDTF">2024-05-13T18:31:17Z</dcterms:created>
  <dcterms:modified xsi:type="dcterms:W3CDTF">2024-05-13T18:38:58Z</dcterms:modified>
</cp:coreProperties>
</file>